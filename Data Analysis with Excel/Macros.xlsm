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nas Dubey\Desktop\"/>
    </mc:Choice>
  </mc:AlternateContent>
  <xr:revisionPtr revIDLastSave="0" documentId="13_ncr:1_{40918F84-A465-422C-B861-84B73407BC20}" xr6:coauthVersionLast="46" xr6:coauthVersionMax="46" xr10:uidLastSave="{00000000-0000-0000-0000-000000000000}"/>
  <bookViews>
    <workbookView xWindow="-108" yWindow="-108" windowWidth="23256" windowHeight="12576" tabRatio="869" firstSheet="1" activeTab="1" xr2:uid="{00000000-000D-0000-FFFF-FFFF00000000}"/>
  </bookViews>
  <sheets>
    <sheet name="Instruction" sheetId="1" state="hidden" r:id="rId1"/>
    <sheet name="Data Entry" sheetId="22" r:id="rId2"/>
    <sheet name="Table" sheetId="23" r:id="rId3"/>
    <sheet name="Invoice Template" sheetId="24" r:id="rId4"/>
    <sheet name="105" sheetId="25" r:id="rId5"/>
    <sheet name="106" sheetId="26" r:id="rId6"/>
  </sheets>
  <definedNames>
    <definedName name="Customer_Name">Table!$C$2:$C$9</definedName>
    <definedName name="Date">Table!$B$2:$B$9</definedName>
    <definedName name="Discount">Table!$G$2:$G$9</definedName>
    <definedName name="Fee_per_hour">Table!$E$2:$E$9</definedName>
    <definedName name="Hours_of_Service_Provided">Table!$D$2:$D$9</definedName>
    <definedName name="Invoice_Number">Table!$A$2:$A$9</definedName>
    <definedName name="Total">Table!$F$2:$F$9</definedName>
    <definedName name="Total_Amount_Due">Table!$H$2:$H$9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" i="23" l="1"/>
  <c r="F9" i="23"/>
  <c r="H9" i="23" s="1"/>
  <c r="G9" i="23"/>
  <c r="F8" i="23"/>
  <c r="G8" i="23"/>
  <c r="F7" i="23"/>
  <c r="G7" i="23" s="1"/>
  <c r="F6" i="23"/>
  <c r="G6" i="23" s="1"/>
  <c r="A5" i="23"/>
  <c r="F5" i="23"/>
  <c r="G5" i="23" s="1"/>
  <c r="A4" i="23"/>
  <c r="F4" i="23"/>
  <c r="G4" i="23" s="1"/>
  <c r="H8" i="23" l="1"/>
  <c r="A6" i="23"/>
  <c r="H7" i="23"/>
  <c r="H6" i="23"/>
  <c r="H5" i="23"/>
  <c r="H4" i="23"/>
  <c r="G3" i="23"/>
  <c r="F2" i="23"/>
  <c r="F3" i="23"/>
  <c r="A7" i="23" l="1"/>
  <c r="C15" i="25"/>
  <c r="C7" i="25"/>
  <c r="B7" i="25"/>
  <c r="G2" i="23"/>
  <c r="H3" i="23"/>
  <c r="B1" i="1"/>
  <c r="C15" i="24" l="1"/>
  <c r="A8" i="23"/>
  <c r="B4" i="25"/>
  <c r="C16" i="25"/>
  <c r="B2" i="25"/>
  <c r="C14" i="26"/>
  <c r="B4" i="26"/>
  <c r="C15" i="26"/>
  <c r="A7" i="25"/>
  <c r="C14" i="25"/>
  <c r="C16" i="26"/>
  <c r="H2" i="23"/>
  <c r="C16" i="24" s="1"/>
  <c r="J2" i="23"/>
  <c r="C14" i="24" l="1"/>
  <c r="A7" i="26"/>
  <c r="B2" i="26"/>
  <c r="C7" i="24"/>
  <c r="B2" i="24"/>
  <c r="C7" i="26"/>
  <c r="B7" i="24"/>
  <c r="A7" i="24"/>
  <c r="B4" i="24"/>
  <c r="B7" i="26"/>
</calcChain>
</file>

<file path=xl/sharedStrings.xml><?xml version="1.0" encoding="utf-8"?>
<sst xmlns="http://schemas.openxmlformats.org/spreadsheetml/2006/main" count="62" uniqueCount="36">
  <si>
    <t>Student #</t>
  </si>
  <si>
    <t>Step 1:</t>
  </si>
  <si>
    <t xml:space="preserve">Enter your student number </t>
  </si>
  <si>
    <t>Have a look to Customer Database sheet</t>
  </si>
  <si>
    <t>Red sheets</t>
  </si>
  <si>
    <t>Complete and calculate the pink cells</t>
  </si>
  <si>
    <t>Step 2:</t>
  </si>
  <si>
    <t>Step 3:</t>
  </si>
  <si>
    <t xml:space="preserve">Read Yellow Cells Directions for </t>
  </si>
  <si>
    <t>Step 4:</t>
  </si>
  <si>
    <t>Date</t>
  </si>
  <si>
    <t>Customer Name</t>
  </si>
  <si>
    <t>Radmehr Accounting Services</t>
  </si>
  <si>
    <t>Service Hours</t>
  </si>
  <si>
    <t>Rate per Hour</t>
  </si>
  <si>
    <t>Total</t>
  </si>
  <si>
    <t>Sami Pty Ltd</t>
  </si>
  <si>
    <t>Invoice Number:</t>
  </si>
  <si>
    <t>Invoice Date:</t>
  </si>
  <si>
    <t xml:space="preserve">Total </t>
  </si>
  <si>
    <t>Total amount due</t>
  </si>
  <si>
    <t>Customer:</t>
  </si>
  <si>
    <t>Hours of Service Provided</t>
  </si>
  <si>
    <t>Fee per hour</t>
  </si>
  <si>
    <t>Invoice Number</t>
  </si>
  <si>
    <t>Discount</t>
  </si>
  <si>
    <t>Total Amount Due</t>
  </si>
  <si>
    <t>Total Revenue</t>
  </si>
  <si>
    <t>King Pty Ltd</t>
  </si>
  <si>
    <t>Siroos Pty Ltd</t>
  </si>
  <si>
    <t>Behrooz Pty Ltd</t>
  </si>
  <si>
    <t>Data Entry</t>
  </si>
  <si>
    <t>Less 5% Discount (For more than 10 hours service)</t>
  </si>
  <si>
    <t>Rod Ltd</t>
  </si>
  <si>
    <t>Loil Pty Ldt</t>
  </si>
  <si>
    <t>manas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</si>
</sst>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* #,##0.00_-;\-&quot;$&quot;* #,##0.00_-;_-&quot;$&quot;* &quot;-&quot;??_-;_-@_-"/>
    <numFmt numFmtId="165" formatCode="yyyy/mm/dd"/>
  </numFmts>
  <fonts count="1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5"/>
      <color theme="3"/>
      <name val="National Book"/>
      <family val="3"/>
    </font>
    <font>
      <sz val="11"/>
      <color theme="1"/>
      <name val="Newzald Book"/>
      <family val="3"/>
    </font>
    <font>
      <b/>
      <sz val="14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8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24997711111789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7">
    <xf numFmtId="0" fontId="0" fillId="0" borderId="0"/>
    <xf numFmtId="164" fontId="4" fillId="0" borderId="0" applyFont="0" applyFill="0" applyBorder="0" applyAlignment="0" applyProtection="0"/>
    <xf numFmtId="0" fontId="4" fillId="0" borderId="0"/>
    <xf numFmtId="0" fontId="6" fillId="0" borderId="0"/>
    <xf numFmtId="0" fontId="8" fillId="0" borderId="4" applyNumberFormat="0" applyFill="0" applyAlignment="0" applyProtection="0"/>
    <xf numFmtId="0" fontId="5" fillId="0" borderId="0" applyNumberFormat="0" applyFill="0" applyBorder="0" applyAlignment="0" applyProtection="0"/>
    <xf numFmtId="0" fontId="9" fillId="0" borderId="0">
      <alignment vertical="top" wrapText="1"/>
    </xf>
  </cellStyleXfs>
  <cellXfs count="41">
    <xf numFmtId="0" fontId="0" fillId="0" borderId="0" xfId="0"/>
    <xf numFmtId="0" fontId="2" fillId="2" borderId="0" xfId="0" applyFont="1" applyFill="1" applyProtection="1">
      <protection locked="0"/>
    </xf>
    <xf numFmtId="0" fontId="0" fillId="0" borderId="0" xfId="0" applyProtection="1">
      <protection locked="0"/>
    </xf>
    <xf numFmtId="0" fontId="3" fillId="0" borderId="0" xfId="0" applyFont="1" applyProtection="1">
      <protection locked="0"/>
    </xf>
    <xf numFmtId="0" fontId="0" fillId="2" borderId="0" xfId="0" applyFill="1" applyProtection="1">
      <protection locked="0"/>
    </xf>
    <xf numFmtId="0" fontId="0" fillId="4" borderId="0" xfId="0" applyFill="1" applyProtection="1">
      <protection locked="0"/>
    </xf>
    <xf numFmtId="0" fontId="0" fillId="3" borderId="0" xfId="0" applyFill="1" applyProtection="1">
      <protection locked="0"/>
    </xf>
    <xf numFmtId="0" fontId="1" fillId="0" borderId="0" xfId="0" applyFont="1"/>
    <xf numFmtId="0" fontId="10" fillId="0" borderId="0" xfId="0" applyFont="1"/>
    <xf numFmtId="0" fontId="0" fillId="0" borderId="5" xfId="0" applyBorder="1"/>
    <xf numFmtId="0" fontId="0" fillId="0" borderId="3" xfId="0" applyBorder="1"/>
    <xf numFmtId="164" fontId="0" fillId="0" borderId="1" xfId="1" applyFont="1" applyBorder="1"/>
    <xf numFmtId="0" fontId="11" fillId="5" borderId="2" xfId="0" applyFont="1" applyFill="1" applyBorder="1"/>
    <xf numFmtId="0" fontId="13" fillId="5" borderId="1" xfId="0" applyFont="1" applyFill="1" applyBorder="1"/>
    <xf numFmtId="14" fontId="14" fillId="0" borderId="1" xfId="0" applyNumberFormat="1" applyFont="1" applyBorder="1"/>
    <xf numFmtId="0" fontId="14" fillId="0" borderId="0" xfId="0" applyFont="1"/>
    <xf numFmtId="0" fontId="14" fillId="0" borderId="1" xfId="0" applyFont="1" applyBorder="1"/>
    <xf numFmtId="0" fontId="14" fillId="0" borderId="1" xfId="1" applyNumberFormat="1" applyFont="1" applyBorder="1"/>
    <xf numFmtId="164" fontId="14" fillId="0" borderId="1" xfId="1" applyFont="1" applyBorder="1"/>
    <xf numFmtId="164" fontId="0" fillId="0" borderId="0" xfId="1" applyFont="1"/>
    <xf numFmtId="0" fontId="11" fillId="5" borderId="8" xfId="0" applyFont="1" applyFill="1" applyBorder="1"/>
    <xf numFmtId="0" fontId="13" fillId="5" borderId="2" xfId="0" applyFont="1" applyFill="1" applyBorder="1"/>
    <xf numFmtId="0" fontId="12" fillId="5" borderId="2" xfId="0" applyFont="1" applyFill="1" applyBorder="1"/>
    <xf numFmtId="0" fontId="13" fillId="5" borderId="5" xfId="0" applyFont="1" applyFill="1" applyBorder="1"/>
    <xf numFmtId="0" fontId="13" fillId="5" borderId="7" xfId="0" applyFont="1" applyFill="1" applyBorder="1"/>
    <xf numFmtId="0" fontId="13" fillId="0" borderId="5" xfId="0" applyFont="1" applyFill="1" applyBorder="1"/>
    <xf numFmtId="0" fontId="13" fillId="4" borderId="5" xfId="0" applyFont="1" applyFill="1" applyBorder="1"/>
    <xf numFmtId="0" fontId="15" fillId="0" borderId="8" xfId="0" applyFont="1" applyBorder="1"/>
    <xf numFmtId="14" fontId="15" fillId="0" borderId="2" xfId="0" applyNumberFormat="1" applyFont="1" applyBorder="1"/>
    <xf numFmtId="0" fontId="15" fillId="0" borderId="2" xfId="0" applyFont="1" applyBorder="1"/>
    <xf numFmtId="164" fontId="15" fillId="0" borderId="2" xfId="1" applyFont="1" applyBorder="1"/>
    <xf numFmtId="164" fontId="15" fillId="0" borderId="6" xfId="1" applyFont="1" applyBorder="1"/>
    <xf numFmtId="164" fontId="15" fillId="0" borderId="7" xfId="1" applyFont="1" applyBorder="1"/>
    <xf numFmtId="164" fontId="0" fillId="0" borderId="5" xfId="1" applyFont="1" applyBorder="1"/>
    <xf numFmtId="164" fontId="16" fillId="0" borderId="1" xfId="1" applyFont="1" applyBorder="1"/>
    <xf numFmtId="164" fontId="15" fillId="0" borderId="2" xfId="1" applyNumberFormat="1" applyFont="1" applyBorder="1"/>
    <xf numFmtId="164" fontId="15" fillId="0" borderId="6" xfId="1" applyNumberFormat="1" applyFont="1" applyBorder="1"/>
    <xf numFmtId="0" fontId="17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7" fillId="0" borderId="1" xfId="0" applyFont="1" applyBorder="1" applyAlignment="1">
      <alignment horizontal="center"/>
    </xf>
    <xf numFmtId="165" fontId="15" fillId="0" borderId="2" xfId="0" applyNumberFormat="1" applyFont="1" applyBorder="1"/>
  </cellXfs>
  <cellStyles count="7">
    <cellStyle name="Currency" xfId="1" builtinId="4"/>
    <cellStyle name="MQ Body" xfId="6" xr:uid="{00000000-0005-0000-0000-000001000000}"/>
    <cellStyle name="MQ Heading 1" xfId="4" xr:uid="{00000000-0005-0000-0000-000002000000}"/>
    <cellStyle name="Normal" xfId="0" builtinId="0"/>
    <cellStyle name="Normal 2 2" xfId="2" xr:uid="{00000000-0005-0000-0000-000004000000}"/>
    <cellStyle name="Normal 4" xfId="3" xr:uid="{00000000-0005-0000-0000-000005000000}"/>
    <cellStyle name="Title 2" xfId="5" xr:uid="{00000000-0005-0000-0000-000006000000}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-&quot;$&quot;* #,##0.00_-;\-&quot;$&quot;* #,##0.00_-;_-&quot;$&quot;* &quot;-&quot;??_-;_-@_-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-&quot;$&quot;* #,##0.00_-;\-&quot;$&quot;* #,##0.00_-;_-&quot;$&quot;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-&quot;$&quot;* #,##0.00_-;\-&quot;$&quot;* #,##0.00_-;_-&quot;$&quot;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5" formatCode="yyyy/mm/dd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CC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60960</xdr:colOff>
      <xdr:row>4</xdr:row>
      <xdr:rowOff>152400</xdr:rowOff>
    </xdr:from>
    <xdr:to>
      <xdr:col>8</xdr:col>
      <xdr:colOff>137160</xdr:colOff>
      <xdr:row>6</xdr:row>
      <xdr:rowOff>30480</xdr:rowOff>
    </xdr:to>
    <xdr:sp macro="[0]!Transf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2B6E171-50E0-4176-B566-441058B2C3CE}"/>
            </a:ext>
          </a:extLst>
        </xdr:cNvPr>
        <xdr:cNvSpPr/>
      </xdr:nvSpPr>
      <xdr:spPr>
        <a:xfrm>
          <a:off x="5471160" y="1165860"/>
          <a:ext cx="1905000" cy="41148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Transfer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213360</xdr:colOff>
      <xdr:row>3</xdr:row>
      <xdr:rowOff>99060</xdr:rowOff>
    </xdr:from>
    <xdr:to>
      <xdr:col>10</xdr:col>
      <xdr:colOff>556260</xdr:colOff>
      <xdr:row>4</xdr:row>
      <xdr:rowOff>190500</xdr:rowOff>
    </xdr:to>
    <xdr:sp macro="[0]!Issue_Invoic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BA81DE6-5D01-49CA-B24E-6C79B697D8E4}"/>
            </a:ext>
          </a:extLst>
        </xdr:cNvPr>
        <xdr:cNvSpPr/>
      </xdr:nvSpPr>
      <xdr:spPr>
        <a:xfrm>
          <a:off x="11163300" y="891540"/>
          <a:ext cx="1676400" cy="35814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Issue Invoice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voices" displayName="Invoices" ref="A1:H9" totalsRowShown="0" headerRowDxfId="9" dataDxfId="8" dataCellStyle="Currency">
  <autoFilter ref="A1:H9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000-000001000000}" name="Invoice Number" dataDxfId="7"/>
    <tableColumn id="2" xr3:uid="{00000000-0010-0000-0000-000002000000}" name="Date" dataDxfId="6"/>
    <tableColumn id="3" xr3:uid="{00000000-0010-0000-0000-000003000000}" name="Customer Name" dataDxfId="5"/>
    <tableColumn id="4" xr3:uid="{00000000-0010-0000-0000-000004000000}" name="Hours of Service Provided" dataDxfId="4"/>
    <tableColumn id="5" xr3:uid="{00000000-0010-0000-0000-000005000000}" name="Fee per hour" dataDxfId="3" dataCellStyle="Currency"/>
    <tableColumn id="6" xr3:uid="{00000000-0010-0000-0000-000006000000}" name="Total" dataDxfId="2" dataCellStyle="Currency">
      <calculatedColumnFormula>Invoices[[#This Row],[Hours of Service Provided]]*Invoices[[#This Row],[Fee per hour]]</calculatedColumnFormula>
    </tableColumn>
    <tableColumn id="7" xr3:uid="{00000000-0010-0000-0000-000007000000}" name="Discount" dataDxfId="1" dataCellStyle="Currency">
      <calculatedColumnFormula>IF(Invoices[[#This Row],[Hours of Service Provided]]&gt;10,Invoices[[#This Row],[Total]]*5%,0)</calculatedColumnFormula>
    </tableColumn>
    <tableColumn id="8" xr3:uid="{00000000-0010-0000-0000-000008000000}" name="Total Amount Due" dataDxfId="0" dataCellStyle="Currency">
      <calculatedColumnFormula>Invoices[[#This Row],[Total]]-Invoices[[#This Row],[Discount]]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62"/>
  <sheetViews>
    <sheetView zoomScale="140" zoomScaleNormal="140" workbookViewId="0">
      <selection activeCell="A5" sqref="A5"/>
    </sheetView>
  </sheetViews>
  <sheetFormatPr defaultColWidth="9.109375" defaultRowHeight="14.4"/>
  <cols>
    <col min="1" max="1" width="29.5546875" style="2" bestFit="1" customWidth="1"/>
    <col min="2" max="2" width="23.109375" style="2" bestFit="1" customWidth="1"/>
    <col min="3" max="6" width="9.109375" style="2"/>
    <col min="7" max="7" width="10.88671875" style="2" customWidth="1"/>
    <col min="8" max="8" width="10.5546875" style="2" customWidth="1"/>
    <col min="9" max="16384" width="9.109375" style="2"/>
  </cols>
  <sheetData>
    <row r="1" spans="1:8" ht="46.2">
      <c r="A1" s="1" t="s">
        <v>0</v>
      </c>
      <c r="B1" s="1" t="e">
        <f>+#REF!</f>
        <v>#REF!</v>
      </c>
      <c r="D1" s="2" t="s">
        <v>1</v>
      </c>
      <c r="E1" s="2" t="s">
        <v>2</v>
      </c>
    </row>
    <row r="2" spans="1:8">
      <c r="D2" s="2" t="s">
        <v>6</v>
      </c>
      <c r="E2" s="2" t="s">
        <v>3</v>
      </c>
    </row>
    <row r="3" spans="1:8">
      <c r="A3" s="3">
        <v>92</v>
      </c>
      <c r="D3" s="2" t="s">
        <v>7</v>
      </c>
      <c r="E3" s="4" t="s">
        <v>8</v>
      </c>
      <c r="F3" s="4"/>
      <c r="G3" s="4"/>
      <c r="H3" s="5" t="s">
        <v>4</v>
      </c>
    </row>
    <row r="4" spans="1:8">
      <c r="A4" s="3">
        <v>38</v>
      </c>
      <c r="D4" s="2" t="s">
        <v>9</v>
      </c>
      <c r="E4" s="6" t="s">
        <v>5</v>
      </c>
      <c r="F4" s="6"/>
      <c r="G4" s="6"/>
      <c r="H4" s="6"/>
    </row>
    <row r="5" spans="1:8">
      <c r="A5" s="3">
        <v>84</v>
      </c>
    </row>
    <row r="6" spans="1:8">
      <c r="A6" s="3">
        <v>37</v>
      </c>
    </row>
    <row r="7" spans="1:8">
      <c r="A7" s="3">
        <v>66</v>
      </c>
    </row>
    <row r="8" spans="1:8">
      <c r="A8" s="3">
        <v>27</v>
      </c>
    </row>
    <row r="9" spans="1:8">
      <c r="A9" s="3">
        <v>17</v>
      </c>
    </row>
    <row r="10" spans="1:8">
      <c r="A10" s="3">
        <v>49</v>
      </c>
    </row>
    <row r="11" spans="1:8">
      <c r="A11" s="3">
        <v>66</v>
      </c>
    </row>
    <row r="12" spans="1:8">
      <c r="A12" s="3">
        <v>17</v>
      </c>
    </row>
    <row r="13" spans="1:8">
      <c r="A13" s="3">
        <v>5</v>
      </c>
    </row>
    <row r="14" spans="1:8">
      <c r="A14" s="3">
        <v>12</v>
      </c>
    </row>
    <row r="15" spans="1:8">
      <c r="A15" s="3">
        <v>71</v>
      </c>
    </row>
    <row r="16" spans="1:8">
      <c r="A16" s="3">
        <v>5</v>
      </c>
    </row>
    <row r="17" spans="1:1">
      <c r="A17" s="3">
        <v>3</v>
      </c>
    </row>
    <row r="18" spans="1:1">
      <c r="A18" s="3">
        <v>27</v>
      </c>
    </row>
    <row r="19" spans="1:1">
      <c r="A19" s="3">
        <v>99</v>
      </c>
    </row>
    <row r="20" spans="1:1">
      <c r="A20" s="3">
        <v>3</v>
      </c>
    </row>
    <row r="21" spans="1:1">
      <c r="A21" s="3">
        <v>99</v>
      </c>
    </row>
    <row r="22" spans="1:1">
      <c r="A22" s="3">
        <v>49</v>
      </c>
    </row>
    <row r="23" spans="1:1">
      <c r="A23" s="3">
        <v>12</v>
      </c>
    </row>
    <row r="24" spans="1:1">
      <c r="A24" s="3">
        <v>12</v>
      </c>
    </row>
    <row r="25" spans="1:1">
      <c r="A25" s="3">
        <v>49</v>
      </c>
    </row>
    <row r="26" spans="1:1">
      <c r="A26" s="3">
        <v>84</v>
      </c>
    </row>
    <row r="27" spans="1:1">
      <c r="A27" s="3">
        <v>6</v>
      </c>
    </row>
    <row r="28" spans="1:1">
      <c r="A28" s="3">
        <v>71</v>
      </c>
    </row>
    <row r="29" spans="1:1">
      <c r="A29" s="3">
        <v>92</v>
      </c>
    </row>
    <row r="30" spans="1:1">
      <c r="A30" s="3">
        <v>99</v>
      </c>
    </row>
    <row r="31" spans="1:1">
      <c r="A31" s="3">
        <v>27</v>
      </c>
    </row>
    <row r="32" spans="1:1">
      <c r="A32" s="3">
        <v>6</v>
      </c>
    </row>
    <row r="33" spans="1:1">
      <c r="A33" s="3">
        <v>38</v>
      </c>
    </row>
    <row r="34" spans="1:1">
      <c r="A34" s="3">
        <v>27</v>
      </c>
    </row>
    <row r="35" spans="1:1">
      <c r="A35" s="3">
        <v>38</v>
      </c>
    </row>
    <row r="36" spans="1:1">
      <c r="A36" s="3">
        <v>92</v>
      </c>
    </row>
    <row r="37" spans="1:1">
      <c r="A37" s="3">
        <v>3</v>
      </c>
    </row>
    <row r="38" spans="1:1">
      <c r="A38" s="3">
        <v>84</v>
      </c>
    </row>
    <row r="39" spans="1:1">
      <c r="A39" s="3">
        <v>5</v>
      </c>
    </row>
    <row r="40" spans="1:1">
      <c r="A40" s="3">
        <v>5</v>
      </c>
    </row>
    <row r="41" spans="1:1">
      <c r="A41" s="3">
        <v>57</v>
      </c>
    </row>
    <row r="42" spans="1:1">
      <c r="A42" s="3">
        <v>3</v>
      </c>
    </row>
    <row r="43" spans="1:1">
      <c r="A43" s="3">
        <v>66</v>
      </c>
    </row>
    <row r="44" spans="1:1">
      <c r="A44" s="3">
        <v>5</v>
      </c>
    </row>
    <row r="45" spans="1:1">
      <c r="A45" s="3">
        <v>71</v>
      </c>
    </row>
    <row r="46" spans="1:1">
      <c r="A46" s="3">
        <v>38</v>
      </c>
    </row>
    <row r="47" spans="1:1">
      <c r="A47" s="3">
        <v>66</v>
      </c>
    </row>
    <row r="48" spans="1:1">
      <c r="A48" s="3">
        <v>57</v>
      </c>
    </row>
    <row r="49" spans="1:1">
      <c r="A49" s="3">
        <v>6</v>
      </c>
    </row>
    <row r="50" spans="1:1">
      <c r="A50" s="3">
        <v>5</v>
      </c>
    </row>
    <row r="51" spans="1:1">
      <c r="A51" s="3">
        <v>71</v>
      </c>
    </row>
    <row r="52" spans="1:1">
      <c r="A52" s="3">
        <v>57</v>
      </c>
    </row>
    <row r="53" spans="1:1">
      <c r="A53" s="3">
        <v>12</v>
      </c>
    </row>
    <row r="54" spans="1:1">
      <c r="A54" s="3">
        <v>5</v>
      </c>
    </row>
    <row r="55" spans="1:1">
      <c r="A55" s="3">
        <v>6</v>
      </c>
    </row>
    <row r="56" spans="1:1">
      <c r="A56" s="3">
        <v>17</v>
      </c>
    </row>
    <row r="57" spans="1:1">
      <c r="A57" s="3">
        <v>49</v>
      </c>
    </row>
    <row r="58" spans="1:1">
      <c r="A58" s="3">
        <v>5</v>
      </c>
    </row>
    <row r="59" spans="1:1">
      <c r="A59" s="3">
        <v>57</v>
      </c>
    </row>
    <row r="60" spans="1:1">
      <c r="A60" s="3">
        <v>99</v>
      </c>
    </row>
    <row r="61" spans="1:1">
      <c r="A61" s="3">
        <v>84</v>
      </c>
    </row>
    <row r="62" spans="1:1">
      <c r="A62" s="3">
        <v>17</v>
      </c>
    </row>
  </sheetData>
  <sheetProtection sheet="1" objects="1" scenarios="1" selectLockedCells="1" selectUnlockedCells="1"/>
  <pageMargins left="0.7" right="0.7" top="0.75" bottom="0.75" header="0.3" footer="0.3"/>
  <pageSetup paperSize="256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C15"/>
  <sheetViews>
    <sheetView tabSelected="1" zoomScaleNormal="100" workbookViewId="0">
      <selection activeCell="C5" sqref="C5"/>
    </sheetView>
  </sheetViews>
  <sheetFormatPr defaultRowHeight="14.4"/>
  <cols>
    <col min="2" max="2" width="34.5546875" bestFit="1" customWidth="1"/>
    <col min="3" max="3" width="17.6640625" customWidth="1"/>
  </cols>
  <sheetData>
    <row r="2" spans="2:3" ht="36.6">
      <c r="B2" s="37" t="s">
        <v>31</v>
      </c>
      <c r="C2" s="37"/>
    </row>
    <row r="5" spans="2:3" ht="21">
      <c r="B5" s="13" t="s">
        <v>10</v>
      </c>
      <c r="C5" s="14"/>
    </row>
    <row r="6" spans="2:3" ht="21">
      <c r="B6" s="15"/>
      <c r="C6" s="15"/>
    </row>
    <row r="7" spans="2:3" ht="21">
      <c r="B7" s="13" t="s">
        <v>11</v>
      </c>
      <c r="C7" s="16"/>
    </row>
    <row r="8" spans="2:3" ht="21">
      <c r="B8" s="13" t="s">
        <v>22</v>
      </c>
      <c r="C8" s="17"/>
    </row>
    <row r="9" spans="2:3" ht="21">
      <c r="B9" s="13" t="s">
        <v>23</v>
      </c>
      <c r="C9" s="18"/>
    </row>
    <row r="10" spans="2:3">
      <c r="C10" s="19"/>
    </row>
    <row r="11" spans="2:3">
      <c r="C11" s="19"/>
    </row>
    <row r="12" spans="2:3">
      <c r="C12" s="19"/>
    </row>
    <row r="13" spans="2:3">
      <c r="C13" s="19"/>
    </row>
    <row r="14" spans="2:3">
      <c r="C14" s="19"/>
    </row>
    <row r="15" spans="2:3">
      <c r="C15" s="19"/>
    </row>
  </sheetData>
  <mergeCells count="1">
    <mergeCell ref="B2:C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9"/>
  <sheetViews>
    <sheetView workbookViewId="0">
      <selection activeCell="D22" sqref="D22"/>
    </sheetView>
  </sheetViews>
  <sheetFormatPr defaultRowHeight="14.4"/>
  <cols>
    <col min="1" max="1" width="17.5546875" customWidth="1"/>
    <col min="2" max="2" width="13.77734375" bestFit="1" customWidth="1"/>
    <col min="3" max="3" width="23.109375" customWidth="1"/>
    <col min="4" max="4" width="24.44140625" customWidth="1"/>
    <col min="5" max="5" width="18.77734375" customWidth="1"/>
    <col min="6" max="6" width="14.5546875" bestFit="1" customWidth="1"/>
    <col min="7" max="7" width="13.77734375" customWidth="1"/>
    <col min="8" max="8" width="25.5546875" customWidth="1"/>
    <col min="10" max="10" width="19.44140625" bestFit="1" customWidth="1"/>
  </cols>
  <sheetData>
    <row r="1" spans="1:10" ht="21">
      <c r="A1" s="20" t="s">
        <v>24</v>
      </c>
      <c r="B1" s="21" t="s">
        <v>10</v>
      </c>
      <c r="C1" s="21" t="s">
        <v>11</v>
      </c>
      <c r="D1" s="22" t="s">
        <v>22</v>
      </c>
      <c r="E1" s="21" t="s">
        <v>23</v>
      </c>
      <c r="F1" s="23" t="s">
        <v>15</v>
      </c>
      <c r="G1" s="23" t="s">
        <v>25</v>
      </c>
      <c r="H1" s="24" t="s">
        <v>26</v>
      </c>
      <c r="I1" s="25"/>
      <c r="J1" s="26" t="s">
        <v>27</v>
      </c>
    </row>
    <row r="2" spans="1:10" ht="23.4">
      <c r="A2" s="27">
        <v>100</v>
      </c>
      <c r="B2" s="28">
        <v>42583</v>
      </c>
      <c r="C2" s="29" t="s">
        <v>16</v>
      </c>
      <c r="D2" s="29">
        <v>20</v>
      </c>
      <c r="E2" s="30">
        <v>50</v>
      </c>
      <c r="F2" s="30">
        <f>Invoices[[#This Row],[Hours of Service Provided]]*Invoices[[#This Row],[Fee per hour]]</f>
        <v>1000</v>
      </c>
      <c r="G2" s="30">
        <f>IF(Invoices[[#This Row],[Hours of Service Provided]]&gt;10,Invoices[[#This Row],[Total]]*5%,0)</f>
        <v>50</v>
      </c>
      <c r="H2" s="31">
        <f>Invoices[[#This Row],[Total]]-Invoices[[#This Row],[Discount]]</f>
        <v>950</v>
      </c>
      <c r="I2" s="32"/>
      <c r="J2" s="34">
        <f>SUM(Total_Amount_Due)</f>
        <v>10927.5</v>
      </c>
    </row>
    <row r="3" spans="1:10" ht="18">
      <c r="A3" s="27">
        <v>101</v>
      </c>
      <c r="B3" s="28">
        <v>42584</v>
      </c>
      <c r="C3" s="29" t="s">
        <v>28</v>
      </c>
      <c r="D3" s="29">
        <v>8</v>
      </c>
      <c r="E3" s="30">
        <v>51</v>
      </c>
      <c r="F3" s="30">
        <f>Invoices[[#This Row],[Hours of Service Provided]]*Invoices[[#This Row],[Fee per hour]]</f>
        <v>408</v>
      </c>
      <c r="G3" s="30">
        <f>IF(Invoices[[#This Row],[Hours of Service Provided]]&gt;10,Invoices[[#This Row],[Total]]*5%,0)</f>
        <v>0</v>
      </c>
      <c r="H3" s="31">
        <f>Invoices[[#This Row],[Total]]-Invoices[[#This Row],[Discount]]</f>
        <v>408</v>
      </c>
    </row>
    <row r="4" spans="1:10" ht="21">
      <c r="A4" s="27">
        <f>A3+1</f>
        <v>102</v>
      </c>
      <c r="B4" s="28">
        <v>42586</v>
      </c>
      <c r="C4" s="16" t="s">
        <v>33</v>
      </c>
      <c r="D4" s="17">
        <v>22</v>
      </c>
      <c r="E4" s="18">
        <v>50</v>
      </c>
      <c r="F4" s="35">
        <f>Invoices[[#This Row],[Hours of Service Provided]]*Invoices[[#This Row],[Fee per hour]]</f>
        <v>1100</v>
      </c>
      <c r="G4" s="35">
        <f>IF(Invoices[[#This Row],[Hours of Service Provided]]&gt;10,Invoices[[#This Row],[Total]]*5%,0)</f>
        <v>55</v>
      </c>
      <c r="H4" s="36">
        <f>Invoices[[#This Row],[Total]]-Invoices[[#This Row],[Discount]]</f>
        <v>1045</v>
      </c>
    </row>
    <row r="5" spans="1:10" ht="21">
      <c r="A5" s="27">
        <f>A4+1</f>
        <v>103</v>
      </c>
      <c r="B5" s="28">
        <v>42592</v>
      </c>
      <c r="C5" s="16" t="s">
        <v>34</v>
      </c>
      <c r="D5" s="17">
        <v>30</v>
      </c>
      <c r="E5" s="18">
        <v>55</v>
      </c>
      <c r="F5" s="35">
        <f>Invoices[[#This Row],[Hours of Service Provided]]*Invoices[[#This Row],[Fee per hour]]</f>
        <v>1650</v>
      </c>
      <c r="G5" s="35">
        <f>IF(Invoices[[#This Row],[Hours of Service Provided]]&gt;10,Invoices[[#This Row],[Total]]*5%,0)</f>
        <v>82.5</v>
      </c>
      <c r="H5" s="36">
        <f>Invoices[[#This Row],[Total]]-Invoices[[#This Row],[Discount]]</f>
        <v>1567.5</v>
      </c>
    </row>
    <row r="6" spans="1:10" ht="21">
      <c r="A6" s="27">
        <f>A5+1</f>
        <v>104</v>
      </c>
      <c r="B6" s="28">
        <v>42603</v>
      </c>
      <c r="C6" s="16" t="s">
        <v>28</v>
      </c>
      <c r="D6" s="17">
        <v>60</v>
      </c>
      <c r="E6" s="18">
        <v>52</v>
      </c>
      <c r="F6" s="35">
        <f>Invoices[[#This Row],[Hours of Service Provided]]*Invoices[[#This Row],[Fee per hour]]</f>
        <v>3120</v>
      </c>
      <c r="G6" s="35">
        <f>IF(Invoices[[#This Row],[Hours of Service Provided]]&gt;10,Invoices[[#This Row],[Total]]*5%,0)</f>
        <v>156</v>
      </c>
      <c r="H6" s="36">
        <f>Invoices[[#This Row],[Total]]-Invoices[[#This Row],[Discount]]</f>
        <v>2964</v>
      </c>
    </row>
    <row r="7" spans="1:10" ht="21">
      <c r="A7" s="27">
        <f>A6+1</f>
        <v>105</v>
      </c>
      <c r="B7" s="28">
        <v>42611</v>
      </c>
      <c r="C7" s="16" t="s">
        <v>29</v>
      </c>
      <c r="D7" s="17">
        <v>20</v>
      </c>
      <c r="E7" s="18">
        <v>54</v>
      </c>
      <c r="F7" s="35">
        <f>Invoices[[#This Row],[Hours of Service Provided]]*Invoices[[#This Row],[Fee per hour]]</f>
        <v>1080</v>
      </c>
      <c r="G7" s="35">
        <f>IF(Invoices[[#This Row],[Hours of Service Provided]]&gt;10,Invoices[[#This Row],[Total]]*5%,0)</f>
        <v>54</v>
      </c>
      <c r="H7" s="36">
        <f>Invoices[[#This Row],[Total]]-Invoices[[#This Row],[Discount]]</f>
        <v>1026</v>
      </c>
    </row>
    <row r="8" spans="1:10" ht="21">
      <c r="A8" s="27">
        <f>A7+1</f>
        <v>106</v>
      </c>
      <c r="B8" s="28">
        <v>42614</v>
      </c>
      <c r="C8" s="16" t="s">
        <v>30</v>
      </c>
      <c r="D8" s="17">
        <v>9</v>
      </c>
      <c r="E8" s="18">
        <v>51</v>
      </c>
      <c r="F8" s="35">
        <f>Invoices[[#This Row],[Hours of Service Provided]]*Invoices[[#This Row],[Fee per hour]]</f>
        <v>459</v>
      </c>
      <c r="G8" s="35">
        <f>IF(Invoices[[#This Row],[Hours of Service Provided]]&gt;10,Invoices[[#This Row],[Total]]*5%,0)</f>
        <v>0</v>
      </c>
      <c r="H8" s="36">
        <f>Invoices[[#This Row],[Total]]-Invoices[[#This Row],[Discount]]</f>
        <v>459</v>
      </c>
    </row>
    <row r="9" spans="1:10" ht="21">
      <c r="A9" s="27">
        <f>A8+1</f>
        <v>107</v>
      </c>
      <c r="B9" s="40">
        <v>36781</v>
      </c>
      <c r="C9" s="16" t="s">
        <v>35</v>
      </c>
      <c r="D9" s="17">
        <v>12</v>
      </c>
      <c r="E9" s="18">
        <v>220</v>
      </c>
      <c r="F9" s="35">
        <f>Invoices[[#This Row],[Hours of Service Provided]]*Invoices[[#This Row],[Fee per hour]]</f>
        <v>2640</v>
      </c>
      <c r="G9" s="35">
        <f>IF(Invoices[[#This Row],[Hours of Service Provided]]&gt;10,Invoices[[#This Row],[Total]]*5%,0)</f>
        <v>132</v>
      </c>
      <c r="H9" s="36">
        <f>Invoices[[#This Row],[Total]]-Invoices[[#This Row],[Discount]]</f>
        <v>2508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16"/>
  <sheetViews>
    <sheetView workbookViewId="0"/>
  </sheetViews>
  <sheetFormatPr defaultRowHeight="14.4"/>
  <cols>
    <col min="1" max="3" width="18.88671875" customWidth="1"/>
  </cols>
  <sheetData>
    <row r="1" spans="1:3" ht="18">
      <c r="A1" s="8" t="s">
        <v>12</v>
      </c>
    </row>
    <row r="2" spans="1:3">
      <c r="A2" s="7" t="s">
        <v>21</v>
      </c>
      <c r="B2" t="str">
        <f>VLOOKUP($B$3,Invoices[],3,FALSE)</f>
        <v>manas</v>
      </c>
    </row>
    <row r="3" spans="1:3">
      <c r="A3" s="7" t="s">
        <v>17</v>
      </c>
      <c r="B3">
        <v>107</v>
      </c>
    </row>
    <row r="4" spans="1:3">
      <c r="A4" s="7" t="s">
        <v>18</v>
      </c>
      <c r="B4">
        <f>VLOOKUP($B$3,Invoices[],2,FALSE)</f>
        <v>36781</v>
      </c>
    </row>
    <row r="6" spans="1:3" ht="15.6">
      <c r="A6" s="12" t="s">
        <v>13</v>
      </c>
      <c r="B6" s="12" t="s">
        <v>14</v>
      </c>
      <c r="C6" s="12" t="s">
        <v>15</v>
      </c>
    </row>
    <row r="7" spans="1:3">
      <c r="A7" s="9">
        <f>VLOOKUP($B$3,Invoices[],4,FALSE)</f>
        <v>12</v>
      </c>
      <c r="B7" s="9">
        <f>VLOOKUP($B$3,Invoices[],5,FALSE)</f>
        <v>220</v>
      </c>
      <c r="C7" s="33">
        <f>VLOOKUP($B$3,Invoices[],6,FALSE)</f>
        <v>2640</v>
      </c>
    </row>
    <row r="8" spans="1:3">
      <c r="A8" s="9"/>
      <c r="B8" s="9"/>
      <c r="C8" s="9"/>
    </row>
    <row r="9" spans="1:3">
      <c r="A9" s="9"/>
      <c r="B9" s="9"/>
      <c r="C9" s="9"/>
    </row>
    <row r="10" spans="1:3">
      <c r="A10" s="9"/>
      <c r="B10" s="9"/>
      <c r="C10" s="9"/>
    </row>
    <row r="11" spans="1:3">
      <c r="A11" s="9"/>
      <c r="B11" s="9"/>
      <c r="C11" s="9"/>
    </row>
    <row r="12" spans="1:3">
      <c r="A12" s="9"/>
      <c r="B12" s="9"/>
      <c r="C12" s="9"/>
    </row>
    <row r="13" spans="1:3">
      <c r="A13" s="10"/>
      <c r="B13" s="10"/>
      <c r="C13" s="10"/>
    </row>
    <row r="14" spans="1:3">
      <c r="A14" s="38" t="s">
        <v>19</v>
      </c>
      <c r="B14" s="38"/>
      <c r="C14" s="11">
        <f>VLOOKUP($B$3,Invoices[],6,FALSE)</f>
        <v>2640</v>
      </c>
    </row>
    <row r="15" spans="1:3">
      <c r="A15" s="39" t="s">
        <v>32</v>
      </c>
      <c r="B15" s="39"/>
      <c r="C15" s="11">
        <f>VLOOKUP($B$3,Invoices[],7,FALSE)</f>
        <v>132</v>
      </c>
    </row>
    <row r="16" spans="1:3">
      <c r="A16" s="38" t="s">
        <v>20</v>
      </c>
      <c r="B16" s="38"/>
      <c r="C16" s="11">
        <f>VLOOKUP($B$3,Invoices[],8,FALSE)</f>
        <v>2508</v>
      </c>
    </row>
  </sheetData>
  <mergeCells count="3">
    <mergeCell ref="A14:B14"/>
    <mergeCell ref="A15:B15"/>
    <mergeCell ref="A16:B1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16"/>
  <sheetViews>
    <sheetView workbookViewId="0"/>
  </sheetViews>
  <sheetFormatPr defaultRowHeight="14.4"/>
  <cols>
    <col min="1" max="3" width="18.88671875" customWidth="1"/>
  </cols>
  <sheetData>
    <row r="1" spans="1:3" ht="18">
      <c r="A1" s="8" t="s">
        <v>12</v>
      </c>
    </row>
    <row r="2" spans="1:3">
      <c r="A2" s="7" t="s">
        <v>21</v>
      </c>
      <c r="B2" t="str">
        <f>VLOOKUP($B$3,Invoices[],3,FALSE)</f>
        <v>Siroos Pty Ltd</v>
      </c>
    </row>
    <row r="3" spans="1:3">
      <c r="A3" s="7" t="s">
        <v>17</v>
      </c>
      <c r="B3">
        <v>105</v>
      </c>
    </row>
    <row r="4" spans="1:3">
      <c r="A4" s="7" t="s">
        <v>18</v>
      </c>
      <c r="B4">
        <f>VLOOKUP($B$3,Invoices[],2,FALSE)</f>
        <v>42611</v>
      </c>
    </row>
    <row r="6" spans="1:3" ht="15.6">
      <c r="A6" s="12" t="s">
        <v>13</v>
      </c>
      <c r="B6" s="12" t="s">
        <v>14</v>
      </c>
      <c r="C6" s="12" t="s">
        <v>15</v>
      </c>
    </row>
    <row r="7" spans="1:3">
      <c r="A7" s="9">
        <f>VLOOKUP($B$3,Invoices[],4,FALSE)</f>
        <v>20</v>
      </c>
      <c r="B7" s="9">
        <f>VLOOKUP($B$3,Invoices[],5,FALSE)</f>
        <v>54</v>
      </c>
      <c r="C7" s="33">
        <f>VLOOKUP($B$3,Invoices[],6,FALSE)</f>
        <v>1080</v>
      </c>
    </row>
    <row r="8" spans="1:3">
      <c r="A8" s="9"/>
      <c r="B8" s="9"/>
      <c r="C8" s="9"/>
    </row>
    <row r="9" spans="1:3">
      <c r="A9" s="9"/>
      <c r="B9" s="9"/>
      <c r="C9" s="9"/>
    </row>
    <row r="10" spans="1:3">
      <c r="A10" s="9"/>
      <c r="B10" s="9"/>
      <c r="C10" s="9"/>
    </row>
    <row r="11" spans="1:3">
      <c r="A11" s="9"/>
      <c r="B11" s="9"/>
      <c r="C11" s="9"/>
    </row>
    <row r="12" spans="1:3">
      <c r="A12" s="9"/>
      <c r="B12" s="9"/>
      <c r="C12" s="9"/>
    </row>
    <row r="13" spans="1:3">
      <c r="A13" s="10"/>
      <c r="B13" s="10"/>
      <c r="C13" s="10"/>
    </row>
    <row r="14" spans="1:3">
      <c r="A14" s="38" t="s">
        <v>19</v>
      </c>
      <c r="B14" s="38"/>
      <c r="C14" s="11">
        <f>VLOOKUP($B$3,Invoices[],6,FALSE)</f>
        <v>1080</v>
      </c>
    </row>
    <row r="15" spans="1:3">
      <c r="A15" s="39" t="s">
        <v>32</v>
      </c>
      <c r="B15" s="39"/>
      <c r="C15" s="11">
        <f>VLOOKUP($B$3,Invoices[],7,FALSE)</f>
        <v>54</v>
      </c>
    </row>
    <row r="16" spans="1:3">
      <c r="A16" s="38" t="s">
        <v>20</v>
      </c>
      <c r="B16" s="38"/>
      <c r="C16" s="11">
        <f>VLOOKUP($B$3,Invoices[],8,FALSE)</f>
        <v>1026</v>
      </c>
    </row>
  </sheetData>
  <mergeCells count="3">
    <mergeCell ref="A14:B14"/>
    <mergeCell ref="A15:B15"/>
    <mergeCell ref="A16:B1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16"/>
  <sheetViews>
    <sheetView workbookViewId="0"/>
  </sheetViews>
  <sheetFormatPr defaultRowHeight="14.4"/>
  <cols>
    <col min="1" max="3" width="18.88671875" customWidth="1"/>
  </cols>
  <sheetData>
    <row r="1" spans="1:3" ht="18">
      <c r="A1" s="8" t="s">
        <v>12</v>
      </c>
    </row>
    <row r="2" spans="1:3">
      <c r="A2" s="7" t="s">
        <v>21</v>
      </c>
      <c r="B2" t="str">
        <f>VLOOKUP($B$3,Invoices[],3,FALSE)</f>
        <v>Behrooz Pty Ltd</v>
      </c>
    </row>
    <row r="3" spans="1:3">
      <c r="A3" s="7" t="s">
        <v>17</v>
      </c>
      <c r="B3">
        <v>106</v>
      </c>
    </row>
    <row r="4" spans="1:3">
      <c r="A4" s="7" t="s">
        <v>18</v>
      </c>
      <c r="B4">
        <f>VLOOKUP($B$3,Invoices[],2,FALSE)</f>
        <v>42614</v>
      </c>
    </row>
    <row r="6" spans="1:3" ht="15.6">
      <c r="A6" s="12" t="s">
        <v>13</v>
      </c>
      <c r="B6" s="12" t="s">
        <v>14</v>
      </c>
      <c r="C6" s="12" t="s">
        <v>15</v>
      </c>
    </row>
    <row r="7" spans="1:3">
      <c r="A7" s="9">
        <f>VLOOKUP($B$3,Invoices[],4,FALSE)</f>
        <v>9</v>
      </c>
      <c r="B7" s="9">
        <f>VLOOKUP($B$3,Invoices[],5,FALSE)</f>
        <v>51</v>
      </c>
      <c r="C7" s="33">
        <f>VLOOKUP($B$3,Invoices[],6,FALSE)</f>
        <v>459</v>
      </c>
    </row>
    <row r="8" spans="1:3">
      <c r="A8" s="9"/>
      <c r="B8" s="9"/>
      <c r="C8" s="9"/>
    </row>
    <row r="9" spans="1:3">
      <c r="A9" s="9"/>
      <c r="B9" s="9"/>
      <c r="C9" s="9"/>
    </row>
    <row r="10" spans="1:3">
      <c r="A10" s="9"/>
      <c r="B10" s="9"/>
      <c r="C10" s="9"/>
    </row>
    <row r="11" spans="1:3">
      <c r="A11" s="9"/>
      <c r="B11" s="9"/>
      <c r="C11" s="9"/>
    </row>
    <row r="12" spans="1:3">
      <c r="A12" s="9"/>
      <c r="B12" s="9"/>
      <c r="C12" s="9"/>
    </row>
    <row r="13" spans="1:3">
      <c r="A13" s="10"/>
      <c r="B13" s="10"/>
      <c r="C13" s="10"/>
    </row>
    <row r="14" spans="1:3">
      <c r="A14" s="38" t="s">
        <v>19</v>
      </c>
      <c r="B14" s="38"/>
      <c r="C14" s="11">
        <f>VLOOKUP($B$3,Invoices[],6,FALSE)</f>
        <v>459</v>
      </c>
    </row>
    <row r="15" spans="1:3">
      <c r="A15" s="39" t="s">
        <v>32</v>
      </c>
      <c r="B15" s="39"/>
      <c r="C15" s="11">
        <f>VLOOKUP($B$3,Invoices[],7,FALSE)</f>
        <v>0</v>
      </c>
    </row>
    <row r="16" spans="1:3">
      <c r="A16" s="38" t="s">
        <v>20</v>
      </c>
      <c r="B16" s="38"/>
      <c r="C16" s="11">
        <f>VLOOKUP($B$3,Invoices[],8,FALSE)</f>
        <v>459</v>
      </c>
    </row>
  </sheetData>
  <mergeCells count="3">
    <mergeCell ref="A14:B14"/>
    <mergeCell ref="A15:B15"/>
    <mergeCell ref="A16:B1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</vt:i4>
      </vt:variant>
    </vt:vector>
  </HeadingPairs>
  <TitlesOfParts>
    <vt:vector size="14" baseType="lpstr">
      <vt:lpstr>Instruction</vt:lpstr>
      <vt:lpstr>Data Entry</vt:lpstr>
      <vt:lpstr>Table</vt:lpstr>
      <vt:lpstr>Invoice Template</vt:lpstr>
      <vt:lpstr>105</vt:lpstr>
      <vt:lpstr>106</vt:lpstr>
      <vt:lpstr>Customer_Name</vt:lpstr>
      <vt:lpstr>Date</vt:lpstr>
      <vt:lpstr>Discount</vt:lpstr>
      <vt:lpstr>Fee_per_hour</vt:lpstr>
      <vt:lpstr>Hours_of_Service_Provided</vt:lpstr>
      <vt:lpstr>Invoice_Number</vt:lpstr>
      <vt:lpstr>Total</vt:lpstr>
      <vt:lpstr>Total_Amount_Due</vt:lpstr>
    </vt:vector>
  </TitlesOfParts>
  <Company>Kent Institute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Behnaz Ortakand</dc:creator>
  <cp:lastModifiedBy>Manas Dubey</cp:lastModifiedBy>
  <dcterms:created xsi:type="dcterms:W3CDTF">2016-08-30T01:18:10Z</dcterms:created>
  <dcterms:modified xsi:type="dcterms:W3CDTF">2021-05-06T09:15:50Z</dcterms:modified>
</cp:coreProperties>
</file>